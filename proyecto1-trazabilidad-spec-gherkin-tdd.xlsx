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zabilidad" sheetId="2" state="visible" r:id="rId2"/>
    <sheet name="Evidencia TD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5C8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6" fillId="9" borderId="0" pivotButton="0" quotePrefix="0" xfId="0"/>
    <xf numFmtId="0" fontId="0" fillId="9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2" customHeight="1">
      <c r="A1" s="1" t="inlineStr">
        <is>
          <t>Resumen — Criterio: SPECs, Gherkin y TDD (10 pts)</t>
        </is>
      </c>
    </row>
    <row r="2" ht="26" customHeight="1">
      <c r="A2" s="2" t="inlineStr">
        <is>
          <t>Todas las cifras de esta hoja se calculan con fórmulas sobre la hoja 'Trazabilidad' y la hoja 'Evidencia TDD': edita esas hojas y estos totales se recalculan solos.</t>
        </is>
      </c>
    </row>
    <row r="4">
      <c r="A4" s="3" t="inlineStr">
        <is>
          <t>Cobertura global de reglas de negocio</t>
        </is>
      </c>
      <c r="B4" s="4" t="n"/>
    </row>
    <row r="5">
      <c r="A5" s="5" t="inlineStr">
        <is>
          <t>Métrica</t>
        </is>
      </c>
      <c r="B5" s="5" t="inlineStr">
        <is>
          <t>Valor</t>
        </is>
      </c>
    </row>
    <row r="6">
      <c r="A6" s="6" t="inlineStr">
        <is>
          <t>Total de reglas de negocio documentadas</t>
        </is>
      </c>
      <c r="B6" s="7">
        <f>COUNTA(Trazabilidad!D5:D56)</f>
        <v/>
      </c>
    </row>
    <row r="7">
      <c r="A7" s="6" t="inlineStr">
        <is>
          <t>Reglas cubiertas por test (Sí)</t>
        </is>
      </c>
      <c r="B7" s="7">
        <f>COUNTIF(Trazabilidad!H5:H56,"Sí")</f>
        <v/>
      </c>
    </row>
    <row r="8">
      <c r="A8" s="6" t="inlineStr">
        <is>
          <t>Reglas con cobertura parcial (test sin Gherkin dedicado, o viceversa)</t>
        </is>
      </c>
      <c r="B8" s="7">
        <f>COUNTIF(Trazabilidad!H5:H56,"Parcial")</f>
        <v/>
      </c>
    </row>
    <row r="9">
      <c r="A9" s="6" t="inlineStr">
        <is>
          <t>Reglas sin cobertura de test (gap real)</t>
        </is>
      </c>
      <c r="B9" s="7">
        <f>COUNTIF(Trazabilidad!H5:H56,"No")</f>
        <v/>
      </c>
    </row>
    <row r="10">
      <c r="A10" s="6" t="inlineStr">
        <is>
          <t>Reglas no aplicables a test unitario (arquitectónicas / capa SQL / integración)</t>
        </is>
      </c>
      <c r="B10" s="7">
        <f>COUNTIF(Trazabilidad!H5:H56,"N/A")</f>
        <v/>
      </c>
    </row>
    <row r="11">
      <c r="A11" s="6" t="inlineStr">
        <is>
          <t>% de reglas totalmente cubiertas (Sí / Total)</t>
        </is>
      </c>
      <c r="B11" s="8">
        <f>B7/B6</f>
        <v/>
      </c>
    </row>
    <row r="12">
      <c r="A12" s="6" t="inlineStr">
        <is>
          <t>% cubierto sobre reglas aplicables a test (Sí / (Total - N/A))</t>
        </is>
      </c>
      <c r="B12" s="8">
        <f>B7/(B6-B10)</f>
        <v/>
      </c>
    </row>
    <row r="14">
      <c r="A14" s="3" t="inlineStr">
        <is>
          <t>Cobertura por SPEC</t>
        </is>
      </c>
    </row>
    <row r="15">
      <c r="A15" s="5" t="inlineStr">
        <is>
          <t>SPEC ID</t>
        </is>
      </c>
      <c r="B15" s="5" t="inlineStr">
        <is>
          <t>Reglas totales</t>
        </is>
      </c>
      <c r="C15" s="5" t="inlineStr">
        <is>
          <t>Sí</t>
        </is>
      </c>
      <c r="D15" s="5" t="inlineStr">
        <is>
          <t>Parcial</t>
        </is>
      </c>
      <c r="E15" s="5" t="inlineStr">
        <is>
          <t>No</t>
        </is>
      </c>
      <c r="F15" s="5" t="inlineStr">
        <is>
          <t>N/A</t>
        </is>
      </c>
    </row>
    <row r="16">
      <c r="A16" s="7" t="inlineStr">
        <is>
          <t>SPEC-ANNOT-001</t>
        </is>
      </c>
      <c r="B16" s="7">
        <f>COUNTIF(Trazabilidad!A5:A56,A16)</f>
        <v/>
      </c>
      <c r="C16" s="7">
        <f>COUNTIFS(Trazabilidad!A5:A56,A16,Trazabilidad!H5:H56,"Sí")</f>
        <v/>
      </c>
      <c r="D16" s="7">
        <f>COUNTIFS(Trazabilidad!A5:A56,A16,Trazabilidad!H5:H56,"Parcial")</f>
        <v/>
      </c>
      <c r="E16" s="7">
        <f>COUNTIFS(Trazabilidad!A5:A56,A16,Trazabilidad!H5:H56,"No")</f>
        <v/>
      </c>
      <c r="F16" s="7">
        <f>COUNTIFS(Trazabilidad!A5:A56,A16,Trazabilidad!H5:H56,"N/A")</f>
        <v/>
      </c>
    </row>
    <row r="17">
      <c r="A17" s="7" t="inlineStr">
        <is>
          <t>SPEC-COCO-001</t>
        </is>
      </c>
      <c r="B17" s="7">
        <f>COUNTIF(Trazabilidad!A5:A56,A17)</f>
        <v/>
      </c>
      <c r="C17" s="7">
        <f>COUNTIFS(Trazabilidad!A5:A56,A17,Trazabilidad!H5:H56,"Sí")</f>
        <v/>
      </c>
      <c r="D17" s="7">
        <f>COUNTIFS(Trazabilidad!A5:A56,A17,Trazabilidad!H5:H56,"Parcial")</f>
        <v/>
      </c>
      <c r="E17" s="7">
        <f>COUNTIFS(Trazabilidad!A5:A56,A17,Trazabilidad!H5:H56,"No")</f>
        <v/>
      </c>
      <c r="F17" s="7">
        <f>COUNTIFS(Trazabilidad!A5:A56,A17,Trazabilidad!H5:H56,"N/A")</f>
        <v/>
      </c>
    </row>
    <row r="18">
      <c r="A18" s="7" t="inlineStr">
        <is>
          <t>SPEC-DASH-001</t>
        </is>
      </c>
      <c r="B18" s="7">
        <f>COUNTIF(Trazabilidad!A5:A56,A18)</f>
        <v/>
      </c>
      <c r="C18" s="7">
        <f>COUNTIFS(Trazabilidad!A5:A56,A18,Trazabilidad!H5:H56,"Sí")</f>
        <v/>
      </c>
      <c r="D18" s="7">
        <f>COUNTIFS(Trazabilidad!A5:A56,A18,Trazabilidad!H5:H56,"Parcial")</f>
        <v/>
      </c>
      <c r="E18" s="7">
        <f>COUNTIFS(Trazabilidad!A5:A56,A18,Trazabilidad!H5:H56,"No")</f>
        <v/>
      </c>
      <c r="F18" s="7">
        <f>COUNTIFS(Trazabilidad!A5:A56,A18,Trazabilidad!H5:H56,"N/A")</f>
        <v/>
      </c>
    </row>
    <row r="19">
      <c r="A19" s="7" t="inlineStr">
        <is>
          <t>SPEC-VALID-001</t>
        </is>
      </c>
      <c r="B19" s="7">
        <f>COUNTIF(Trazabilidad!A5:A56,A19)</f>
        <v/>
      </c>
      <c r="C19" s="7">
        <f>COUNTIFS(Trazabilidad!A5:A56,A19,Trazabilidad!H5:H56,"Sí")</f>
        <v/>
      </c>
      <c r="D19" s="7">
        <f>COUNTIFS(Trazabilidad!A5:A56,A19,Trazabilidad!H5:H56,"Parcial")</f>
        <v/>
      </c>
      <c r="E19" s="7">
        <f>COUNTIFS(Trazabilidad!A5:A56,A19,Trazabilidad!H5:H56,"No")</f>
        <v/>
      </c>
      <c r="F19" s="7">
        <f>COUNTIFS(Trazabilidad!A5:A56,A19,Trazabilidad!H5:H56,"N/A")</f>
        <v/>
      </c>
    </row>
    <row r="20">
      <c r="A20" s="7" t="inlineStr">
        <is>
          <t>SPEC-UPLOAD-001</t>
        </is>
      </c>
      <c r="B20" s="7">
        <f>COUNTIF(Trazabilidad!A5:A56,A20)</f>
        <v/>
      </c>
      <c r="C20" s="7">
        <f>COUNTIFS(Trazabilidad!A5:A56,A20,Trazabilidad!H5:H56,"Sí")</f>
        <v/>
      </c>
      <c r="D20" s="7">
        <f>COUNTIFS(Trazabilidad!A5:A56,A20,Trazabilidad!H5:H56,"Parcial")</f>
        <v/>
      </c>
      <c r="E20" s="7">
        <f>COUNTIFS(Trazabilidad!A5:A56,A20,Trazabilidad!H5:H56,"No")</f>
        <v/>
      </c>
      <c r="F20" s="7">
        <f>COUNTIFS(Trazabilidad!A5:A56,A20,Trazabilidad!H5:H56,"N/A")</f>
        <v/>
      </c>
    </row>
    <row r="21">
      <c r="A21" s="7" t="inlineStr">
        <is>
          <t>SPEC-SEARCH-001</t>
        </is>
      </c>
      <c r="B21" s="7">
        <f>COUNTIF(Trazabilidad!A5:A56,A21)</f>
        <v/>
      </c>
      <c r="C21" s="7">
        <f>COUNTIFS(Trazabilidad!A5:A56,A21,Trazabilidad!H5:H56,"Sí")</f>
        <v/>
      </c>
      <c r="D21" s="7">
        <f>COUNTIFS(Trazabilidad!A5:A56,A21,Trazabilidad!H5:H56,"Parcial")</f>
        <v/>
      </c>
      <c r="E21" s="7">
        <f>COUNTIFS(Trazabilidad!A5:A56,A21,Trazabilidad!H5:H56,"No")</f>
        <v/>
      </c>
      <c r="F21" s="7">
        <f>COUNTIFS(Trazabilidad!A5:A56,A21,Trazabilidad!H5:H56,"N/A")</f>
        <v/>
      </c>
    </row>
    <row r="22">
      <c r="A22" s="7" t="inlineStr">
        <is>
          <t>SPEC-COCO-UI-001</t>
        </is>
      </c>
      <c r="B22" s="7">
        <f>COUNTIF(Trazabilidad!A5:A56,A22)</f>
        <v/>
      </c>
      <c r="C22" s="7">
        <f>COUNTIFS(Trazabilidad!A5:A56,A22,Trazabilidad!H5:H56,"Sí")</f>
        <v/>
      </c>
      <c r="D22" s="7">
        <f>COUNTIFS(Trazabilidad!A5:A56,A22,Trazabilidad!H5:H56,"Parcial")</f>
        <v/>
      </c>
      <c r="E22" s="7">
        <f>COUNTIFS(Trazabilidad!A5:A56,A22,Trazabilidad!H5:H56,"No")</f>
        <v/>
      </c>
      <c r="F22" s="7">
        <f>COUNTIFS(Trazabilidad!A5:A56,A22,Trazabilidad!H5:H56,"N/A")</f>
        <v/>
      </c>
    </row>
    <row r="24">
      <c r="A24" s="3" t="inlineStr">
        <is>
          <t>Ciclo Red-Green-Refactor</t>
        </is>
      </c>
    </row>
    <row r="25">
      <c r="A25" s="6" t="inlineStr">
        <is>
          <t>Commits con evidencia RED (ver hoja 'Evidencia TDD')</t>
        </is>
      </c>
      <c r="B25" s="7">
        <f>COUNTIF('Evidencia TDD'!A5:A12,"RED")</f>
        <v/>
      </c>
    </row>
    <row r="26">
      <c r="A26" s="6" t="inlineStr">
        <is>
          <t>Commits con evidencia GREEN</t>
        </is>
      </c>
      <c r="B26" s="7">
        <f>COUNTIF('Evidencia TDD'!A5:A12,"GREEN")</f>
        <v/>
      </c>
    </row>
    <row r="27">
      <c r="A27" s="6" t="inlineStr">
        <is>
          <t>Commits con evidencia REFACTOR</t>
        </is>
      </c>
      <c r="B27" s="7">
        <f>COUNTIF('Evidencia TDD'!A5:A12,"REFACTOR")</f>
        <v/>
      </c>
    </row>
    <row r="28">
      <c r="A28" s="6" t="inlineStr">
        <is>
          <t>Ciclos Red→Green→Refactor completos documentados</t>
        </is>
      </c>
      <c r="B28" s="9">
        <f>MIN(B25,B26,B27)</f>
        <v/>
      </c>
    </row>
    <row r="30" ht="40" customHeight="1">
      <c r="A30" s="10" t="inlineStr">
        <is>
          <t>Nota: no se ejecutó la suite de tests en este entorno (no hay Node.js/npm instalado); los resultados de cada fase RED/GREEN/REFACTOR en la hoja 'Evidencia TDD' se verificaron leyendo el diff real de cada commit con 'git show', no ejecutando los tests.</t>
        </is>
      </c>
    </row>
  </sheetData>
  <mergeCells count="6">
    <mergeCell ref="A4:B4"/>
    <mergeCell ref="A30:E30"/>
    <mergeCell ref="A24:E24"/>
    <mergeCell ref="A2:E2"/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" customWidth="1" min="3" max="3"/>
    <col width="46" customWidth="1" min="4" max="4"/>
    <col width="40" customWidth="1" min="5" max="5"/>
    <col width="30" customWidth="1" min="6" max="6"/>
    <col width="30" customWidth="1" min="7" max="7"/>
    <col width="11" customWidth="1" min="8" max="8"/>
    <col width="46" customWidth="1" min="9" max="9"/>
    <col width="42" customWidth="1" min="10" max="10"/>
  </cols>
  <sheetData>
    <row r="1" ht="22" customHeight="1">
      <c r="A1" s="11" t="inlineStr">
        <is>
          <t>Trazabilidad: Regla de negocio → SPEC → Feature (Gherkin) → Test</t>
        </is>
      </c>
    </row>
    <row r="2">
      <c r="A2" s="12" t="inlineStr">
        <is>
          <t>Portal de Anotación de Imágenes — github.com/karenelizabg/proyecto1 — rama main (HEAD e59ba78) — generado 2026-09-04</t>
        </is>
      </c>
    </row>
    <row r="3" ht="28" customHeight="1">
      <c r="A3" s="10" t="inlineStr">
        <is>
          <t>Fuente de esta hoja: lectura directa de backend/specs/*.md, backend/features/*.feature, backend/tests/*.test.ts, frontend/src/specs/*.md, frontend/features/*.feature y frontend/tests/*.test.tsx del repositorio (no se ejecutó la suite: no hay Node.js disponible en este entorno; la columna 'Cubierta por test' es análisis estático del código de prueba).</t>
        </is>
      </c>
    </row>
    <row r="4" ht="30" customHeight="1">
      <c r="A4" s="5" t="inlineStr">
        <is>
          <t>SPEC ID</t>
        </is>
      </c>
      <c r="B4" s="5" t="inlineStr">
        <is>
          <t>Módulo</t>
        </is>
      </c>
      <c r="C4" s="5" t="inlineStr">
        <is>
          <t>#</t>
        </is>
      </c>
      <c r="D4" s="5" t="inlineStr">
        <is>
          <t>Regla de negocio (SPEC)</t>
        </is>
      </c>
      <c r="E4" s="5" t="inlineStr">
        <is>
          <t>Escenario(s) Gherkin (Given/When/Then)</t>
        </is>
      </c>
      <c r="F4" s="5" t="inlineStr">
        <is>
          <t>Archivo .feature</t>
        </is>
      </c>
      <c r="G4" s="5" t="inlineStr">
        <is>
          <t>Archivo de test</t>
        </is>
      </c>
      <c r="H4" s="5" t="inlineStr">
        <is>
          <t>Cubierta por test</t>
        </is>
      </c>
      <c r="I4" s="5" t="inlineStr">
        <is>
          <t>Nota</t>
        </is>
      </c>
      <c r="J4" s="5" t="inlineStr">
        <is>
          <t>Fase / rama de origen</t>
        </is>
      </c>
    </row>
    <row r="5">
      <c r="A5" s="6" t="inlineStr">
        <is>
          <t>SPEC-ANNOT-001</t>
        </is>
      </c>
      <c r="B5" s="6" t="inlineStr">
        <is>
          <t>Anotación (bounding boxes)</t>
        </is>
      </c>
      <c r="C5" s="7" t="n">
        <v>1</v>
      </c>
      <c r="D5" s="6" t="inlineStr">
        <is>
          <t>El origen de la caja debe estar dentro de la imagen (bboxX &gt;= 0 y bboxY &gt;= 0)</t>
        </is>
      </c>
      <c r="E5" s="6" t="inlineStr">
        <is>
          <t>Rechazar una caja con origen negativo</t>
        </is>
      </c>
      <c r="F5" s="6" t="inlineStr">
        <is>
          <t>backend/features/annotation.feature</t>
        </is>
      </c>
      <c r="G5" s="6" t="inlineStr">
        <is>
          <t>backend/tests/annotation.test.ts</t>
        </is>
      </c>
      <c r="H5" s="13" t="inlineStr">
        <is>
          <t>Sí</t>
        </is>
      </c>
      <c r="I5" s="6" t="inlineStr">
        <is>
          <t>Test cubre bboxX y bboxY negativos por separado; Gherkin solo ilustra bboxX.</t>
        </is>
      </c>
      <c r="J5" s="6" t="inlineStr">
        <is>
          <t>Fase 4 — rama stage4-glue (PR #6, commit 1584b00, 2026-09-03)</t>
        </is>
      </c>
    </row>
    <row r="6">
      <c r="A6" s="6" t="inlineStr">
        <is>
          <t>SPEC-ANNOT-001</t>
        </is>
      </c>
      <c r="B6" s="6" t="inlineStr">
        <is>
          <t>Anotación (bounding boxes)</t>
        </is>
      </c>
      <c r="C6" s="7" t="n">
        <v>2</v>
      </c>
      <c r="D6" s="6" t="inlineStr">
        <is>
          <t>Las dimensiones deben ser positivas (bboxWidth &gt; 0 y bboxHeight &gt; 0)</t>
        </is>
      </c>
      <c r="E6" s="6" t="inlineStr">
        <is>
          <t>Rechazar una caja con dimensiones cero o negativas</t>
        </is>
      </c>
      <c r="F6" s="6" t="inlineStr">
        <is>
          <t>backend/features/annotation.feature</t>
        </is>
      </c>
      <c r="G6" s="6" t="inlineStr">
        <is>
          <t>backend/tests/annotation.test.ts</t>
        </is>
      </c>
      <c r="H6" s="13" t="inlineStr">
        <is>
          <t>Sí</t>
        </is>
      </c>
      <c r="I6" s="6" t="inlineStr"/>
      <c r="J6" s="6" t="inlineStr">
        <is>
          <t>Fase 4 — rama stage4-glue (PR #6, commit 1584b00, 2026-09-03)</t>
        </is>
      </c>
    </row>
    <row r="7">
      <c r="A7" s="6" t="inlineStr">
        <is>
          <t>SPEC-ANNOT-001</t>
        </is>
      </c>
      <c r="B7" s="6" t="inlineStr">
        <is>
          <t>Anotación (bounding boxes)</t>
        </is>
      </c>
      <c r="C7" s="7" t="n">
        <v>3</v>
      </c>
      <c r="D7" s="6" t="inlineStr">
        <is>
          <t>La caja no puede salirse del canvas (bboxX+bboxWidth&lt;=width, bboxY+bboxHeight&lt;=height)</t>
        </is>
      </c>
      <c r="E7" s="6" t="inlineStr">
        <is>
          <t>Rechazar una caja que excede el ancho / el alto de la imagen</t>
        </is>
      </c>
      <c r="F7" s="6" t="inlineStr">
        <is>
          <t>backend/features/annotation.feature</t>
        </is>
      </c>
      <c r="G7" s="6" t="inlineStr">
        <is>
          <t>backend/tests/annotation.test.ts</t>
        </is>
      </c>
      <c r="H7" s="13" t="inlineStr">
        <is>
          <t>Sí</t>
        </is>
      </c>
      <c r="I7" s="6" t="inlineStr"/>
      <c r="J7" s="6" t="inlineStr">
        <is>
          <t>Fase 4 — rama stage4-glue (PR #6, commit 1584b00, 2026-09-03)</t>
        </is>
      </c>
    </row>
    <row r="8">
      <c r="A8" s="6" t="inlineStr">
        <is>
          <t>SPEC-ANNOT-001</t>
        </is>
      </c>
      <c r="B8" s="6" t="inlineStr">
        <is>
          <t>Anotación (bounding boxes)</t>
        </is>
      </c>
      <c r="C8" s="7" t="n">
        <v>4</v>
      </c>
      <c r="D8" s="6" t="inlineStr">
        <is>
          <t>El categoryId debe referirse a una categoría existente en la base de datos</t>
        </is>
      </c>
      <c r="E8" s="6" t="inlineStr">
        <is>
          <t>Rechazar una caja sin categoría válida (categoryId &lt;= 0)</t>
        </is>
      </c>
      <c r="F8" s="6" t="inlineStr">
        <is>
          <t>backend/features/annotation.feature</t>
        </is>
      </c>
      <c r="G8" s="6" t="inlineStr">
        <is>
          <t>backend/tests/annotation.test.ts</t>
        </is>
      </c>
      <c r="H8" s="14" t="inlineStr">
        <is>
          <t>Parcial</t>
        </is>
      </c>
      <c r="I8" s="6" t="inlineStr">
        <is>
          <t>El test solo valida que categoryId sea un entero positivo (forma). No hay assertCategoryExists real ni test de integración que verifique existencia en BD.</t>
        </is>
      </c>
      <c r="J8" s="6" t="inlineStr">
        <is>
          <t>Fase 4 — rama stage4-glue (PR #6, commit 1584b00, 2026-09-03)</t>
        </is>
      </c>
    </row>
    <row r="9">
      <c r="A9" s="6" t="inlineStr">
        <is>
          <t>SPEC-ANNOT-001</t>
        </is>
      </c>
      <c r="B9" s="6" t="inlineStr">
        <is>
          <t>Anotación (bounding boxes)</t>
        </is>
      </c>
      <c r="C9" s="7" t="n">
        <v>5</v>
      </c>
      <c r="D9" s="6" t="inlineStr">
        <is>
          <t>El área se calcula en backend (area = bboxWidth × bboxHeight); el cliente nunca la envía</t>
        </is>
      </c>
      <c r="E9" s="6" t="inlineStr">
        <is>
          <t>Aceptar una bounding box válida dentro del canvas</t>
        </is>
      </c>
      <c r="F9" s="6" t="inlineStr">
        <is>
          <t>backend/features/annotation.feature</t>
        </is>
      </c>
      <c r="G9" s="6" t="inlineStr">
        <is>
          <t>backend/tests/annotation.test.ts</t>
        </is>
      </c>
      <c r="H9" s="13" t="inlineStr">
        <is>
          <t>Sí</t>
        </is>
      </c>
      <c r="I9" s="6" t="inlineStr"/>
      <c r="J9" s="6" t="inlineStr">
        <is>
          <t>Fase 4 — rama stage4-glue (PR #6, commit 1584b00, 2026-09-03)</t>
        </is>
      </c>
    </row>
    <row r="10">
      <c r="A10" s="6" t="inlineStr">
        <is>
          <t>SPEC-ANNOT-001</t>
        </is>
      </c>
      <c r="B10" s="6" t="inlineStr">
        <is>
          <t>Anotación (bounding boxes)</t>
        </is>
      </c>
      <c r="C10" s="7" t="n">
        <v>6</v>
      </c>
      <c r="D10" s="6" t="inlineStr">
        <is>
          <t>Si la validación falla, la anotación no debe persistirse</t>
        </is>
      </c>
      <c r="E10" s="6" t="inlineStr">
        <is>
          <t>(implícita en los escenarios de rechazo anteriores)</t>
        </is>
      </c>
      <c r="F10" s="6" t="inlineStr">
        <is>
          <t>backend/features/annotation.feature</t>
        </is>
      </c>
      <c r="G10" s="6" t="inlineStr">
        <is>
          <t>backend/tests/annotation.test.ts</t>
        </is>
      </c>
      <c r="H10" s="13" t="inlineStr">
        <is>
          <t>Sí</t>
        </is>
      </c>
      <c r="I10" s="6" t="inlineStr"/>
      <c r="J10" s="6" t="inlineStr">
        <is>
          <t>Fase 4 — rama stage4-glue (PR #6, commit 1584b00, 2026-09-03)</t>
        </is>
      </c>
    </row>
    <row r="11">
      <c r="A11" s="6" t="inlineStr">
        <is>
          <t>SPEC-ANNOT-001</t>
        </is>
      </c>
      <c r="B11" s="6" t="inlineStr">
        <is>
          <t>Anotación (bounding boxes)</t>
        </is>
      </c>
      <c r="C11" s="7" t="n">
        <v>7</v>
      </c>
      <c r="D11" s="6" t="inlineStr">
        <is>
          <t>Ninguna caja puede quedar sin categoría válida</t>
        </is>
      </c>
      <c r="E11" s="6" t="inlineStr">
        <is>
          <t>Rechazar una caja sin categoría válida (categoryId &lt;= 0)</t>
        </is>
      </c>
      <c r="F11" s="6" t="inlineStr">
        <is>
          <t>backend/features/annotation.feature</t>
        </is>
      </c>
      <c r="G11" s="6" t="inlineStr">
        <is>
          <t>backend/tests/annotation.test.ts</t>
        </is>
      </c>
      <c r="H11" s="14" t="inlineStr">
        <is>
          <t>Parcial</t>
        </is>
      </c>
      <c r="I11" s="6" t="inlineStr">
        <is>
          <t>Misma limitación que la regla 4: solo se prueba la forma, no la existencia real.</t>
        </is>
      </c>
      <c r="J11" s="6" t="inlineStr">
        <is>
          <t>Fase 4 — rama stage4-glue (PR #6, commit 1584b00, 2026-09-03)</t>
        </is>
      </c>
    </row>
    <row r="12">
      <c r="A12" s="6" t="inlineStr">
        <is>
          <t>SPEC-ANNOT-001</t>
        </is>
      </c>
      <c r="B12" s="6" t="inlineStr">
        <is>
          <t>Anotación (bounding boxes)</t>
        </is>
      </c>
      <c r="C12" s="7" t="n">
        <v>8</v>
      </c>
      <c r="D12" s="6" t="inlineStr">
        <is>
          <t>Al crear la primera bounding box en una imagen pending, esta pasa a in_progress</t>
        </is>
      </c>
      <c r="E12" s="6" t="inlineStr">
        <is>
          <t>— sin escenario Gherkin —</t>
        </is>
      </c>
      <c r="F12" s="6" t="inlineStr">
        <is>
          <t>backend/features/annotation.feature</t>
        </is>
      </c>
      <c r="G12" s="6" t="inlineStr">
        <is>
          <t>— sin test —</t>
        </is>
      </c>
      <c r="H12" s="15" t="inlineStr">
        <is>
          <t>No</t>
        </is>
      </c>
      <c r="I12" s="6" t="inlineStr">
        <is>
          <t>GAP REAL. Implementado en src/logic/annotation.service.ts (líneas 92-95) pero depende de la BD real (findImageById/updateImageStatus); no existe test unitario ni de integración ni escenario Gherkin.</t>
        </is>
      </c>
      <c r="J12" s="6" t="inlineStr">
        <is>
          <t>Fase 4 — rama stage4-glue (PR #6, commit 1584b00, 2026-09-03)</t>
        </is>
      </c>
    </row>
    <row r="13">
      <c r="A13" s="6" t="inlineStr">
        <is>
          <t>SPEC-ANNOT-001</t>
        </is>
      </c>
      <c r="B13" s="6" t="inlineStr">
        <is>
          <t>Anotación (bounding boxes)</t>
        </is>
      </c>
      <c r="C13" s="7" t="n">
        <v>9</v>
      </c>
      <c r="D13" s="6" t="inlineStr">
        <is>
          <t>Al eliminar todas las cajas de una imagen no pending, su status vuelve a pending</t>
        </is>
      </c>
      <c r="E13" s="6" t="inlineStr">
        <is>
          <t>— sin escenario Gherkin —</t>
        </is>
      </c>
      <c r="F13" s="6" t="inlineStr">
        <is>
          <t>backend/features/annotation.feature</t>
        </is>
      </c>
      <c r="G13" s="6" t="inlineStr">
        <is>
          <t>— sin test —</t>
        </is>
      </c>
      <c r="H13" s="15" t="inlineStr">
        <is>
          <t>No</t>
        </is>
      </c>
      <c r="I13" s="6" t="inlineStr">
        <is>
          <t>GAP REAL. Implementado en deleteAnnotation() (annotation.service.ts líneas 166-181) pero sin ninguna cobertura de prueba.</t>
        </is>
      </c>
      <c r="J13" s="6" t="inlineStr">
        <is>
          <t>Fase 4 — rama stage4-glue (PR #6, commit 1584b00, 2026-09-03)</t>
        </is>
      </c>
    </row>
    <row r="14">
      <c r="A14" s="6" t="inlineStr">
        <is>
          <t>SPEC-ANNOT-001</t>
        </is>
      </c>
      <c r="B14" s="6" t="inlineStr">
        <is>
          <t>Anotación (bounding boxes)</t>
        </is>
      </c>
      <c r="C14" s="7" t="n">
        <v>10</v>
      </c>
      <c r="D14" s="6" t="inlineStr">
        <is>
          <t>El usuario debe pulsar "Finalizar" explícitamente para pasar a completed (no se autocompleta)</t>
        </is>
      </c>
      <c r="E14" s="6" t="inlineStr">
        <is>
          <t>— sin escenario Gherkin —</t>
        </is>
      </c>
      <c r="F14" s="6" t="inlineStr">
        <is>
          <t>backend/features/annotation.feature</t>
        </is>
      </c>
      <c r="G14" s="6" t="inlineStr">
        <is>
          <t>— sin test —</t>
        </is>
      </c>
      <c r="H14" s="15" t="inlineStr">
        <is>
          <t>No</t>
        </is>
      </c>
      <c r="I14" s="6" t="inlineStr">
        <is>
          <t>GAP REAL. setImageStatus() (image-status.service.ts) exige al menos 1 anotación para completar, pero no hay test que lo verifique.</t>
        </is>
      </c>
      <c r="J14" s="6" t="inlineStr">
        <is>
          <t>Fase 4 — rama stage4-glue (PR #6, commit 1584b00, 2026-09-03)</t>
        </is>
      </c>
    </row>
    <row r="15">
      <c r="A15" s="6" t="inlineStr">
        <is>
          <t>SPEC-ANNOT-001</t>
        </is>
      </c>
      <c r="B15" s="6" t="inlineStr">
        <is>
          <t>Anotación (bounding boxes)</t>
        </is>
      </c>
      <c r="C15" s="7" t="n">
        <v>11</v>
      </c>
      <c r="D15" s="6" t="inlineStr">
        <is>
          <t>Una imagen completed no puede completarse de nuevo (idempotente)</t>
        </is>
      </c>
      <c r="E15" s="6" t="inlineStr">
        <is>
          <t>— sin escenario Gherkin —</t>
        </is>
      </c>
      <c r="F15" s="6" t="inlineStr">
        <is>
          <t>backend/features/annotation.feature</t>
        </is>
      </c>
      <c r="G15" s="6" t="inlineStr">
        <is>
          <t>— sin test —</t>
        </is>
      </c>
      <c r="H15" s="15" t="inlineStr">
        <is>
          <t>No</t>
        </is>
      </c>
      <c r="I15" s="6" t="inlineStr">
        <is>
          <t>GAP REAL. La idempotencia está implementada (image-status.service.ts línea 31-33: if image.status === nextStatus return) pero sin test que la ejercite.</t>
        </is>
      </c>
      <c r="J15" s="6" t="inlineStr">
        <is>
          <t>Fase 4 — rama stage4-glue (PR #6, commit 1584b00, 2026-09-03)</t>
        </is>
      </c>
    </row>
    <row r="16">
      <c r="A16" s="6" t="inlineStr">
        <is>
          <t>SPEC-COCO-001</t>
        </is>
      </c>
      <c r="B16" s="6" t="inlineStr">
        <is>
          <t>Exportación COCO</t>
        </is>
      </c>
      <c r="C16" s="7" t="n">
        <v>1</v>
      </c>
      <c r="D16" s="6" t="inlineStr">
        <is>
          <t>El documento COCO tiene exactamente las secciones images, annotations y categories</t>
        </is>
      </c>
      <c r="E16" s="6" t="inlineStr">
        <is>
          <t>El JSON tiene las tres secciones obligatorias</t>
        </is>
      </c>
      <c r="F16" s="6" t="inlineStr">
        <is>
          <t>backend/features/coco-export.feature</t>
        </is>
      </c>
      <c r="G16" s="6" t="inlineStr">
        <is>
          <t>backend/tests/coco-export.test.ts</t>
        </is>
      </c>
      <c r="H16" s="13" t="inlineStr">
        <is>
          <t>Sí</t>
        </is>
      </c>
      <c r="I16" s="6" t="inlineStr"/>
      <c r="J16" s="6" t="inlineStr">
        <is>
          <t>Fase 4 — rama stage4-glue (PR #6, commit 1584b00, 2026-09-03)</t>
        </is>
      </c>
    </row>
    <row r="17">
      <c r="A17" s="6" t="inlineStr">
        <is>
          <t>SPEC-COCO-001</t>
        </is>
      </c>
      <c r="B17" s="6" t="inlineStr">
        <is>
          <t>Exportación COCO</t>
        </is>
      </c>
      <c r="C17" s="7" t="n">
        <v>2</v>
      </c>
      <c r="D17" s="6" t="inlineStr">
        <is>
          <t>El bbox se serializa en el orden exacto [x, y, width, height] en píxeles absolutos</t>
        </is>
      </c>
      <c r="E17" s="6" t="inlineStr">
        <is>
          <t>Cada anotación usa el bbox en orden [x, y, width, height]</t>
        </is>
      </c>
      <c r="F17" s="6" t="inlineStr">
        <is>
          <t>backend/features/coco-export.feature</t>
        </is>
      </c>
      <c r="G17" s="6" t="inlineStr">
        <is>
          <t>backend/tests/coco-export.test.ts</t>
        </is>
      </c>
      <c r="H17" s="13" t="inlineStr">
        <is>
          <t>Sí</t>
        </is>
      </c>
      <c r="I17" s="6" t="inlineStr"/>
      <c r="J17" s="6" t="inlineStr">
        <is>
          <t>Fase 4 — rama stage4-glue (PR #6, commit 1584b00, 2026-09-03)</t>
        </is>
      </c>
    </row>
    <row r="18">
      <c r="A18" s="6" t="inlineStr">
        <is>
          <t>SPEC-COCO-001</t>
        </is>
      </c>
      <c r="B18" s="6" t="inlineStr">
        <is>
          <t>Exportación COCO</t>
        </is>
      </c>
      <c r="C18" s="7" t="n">
        <v>3</v>
      </c>
      <c r="D18" s="6" t="inlineStr">
        <is>
          <t>El área es coherente: area === bbox[2] × bbox[3]</t>
        </is>
      </c>
      <c r="E18" s="6" t="inlineStr">
        <is>
          <t>El área de cada anotación es coherente con el bbox</t>
        </is>
      </c>
      <c r="F18" s="6" t="inlineStr">
        <is>
          <t>backend/features/coco-export.feature</t>
        </is>
      </c>
      <c r="G18" s="6" t="inlineStr">
        <is>
          <t>backend/tests/coco-export.test.ts</t>
        </is>
      </c>
      <c r="H18" s="13" t="inlineStr">
        <is>
          <t>Sí</t>
        </is>
      </c>
      <c r="I18" s="6" t="inlineStr"/>
      <c r="J18" s="6" t="inlineStr">
        <is>
          <t>Fase 4 — rama stage4-glue (PR #6, commit 1584b00, 2026-09-03)</t>
        </is>
      </c>
    </row>
    <row r="19">
      <c r="A19" s="6" t="inlineStr">
        <is>
          <t>SPEC-COCO-001</t>
        </is>
      </c>
      <c r="B19" s="6" t="inlineStr">
        <is>
          <t>Exportación COCO</t>
        </is>
      </c>
      <c r="C19" s="7" t="n">
        <v>4</v>
      </c>
      <c r="D19" s="6" t="inlineStr">
        <is>
          <t>El campo iscrowd siempre debe estar presente, con valor 0 o 1</t>
        </is>
      </c>
      <c r="E19" s="6" t="inlineStr">
        <is>
          <t>El campo iscrowd siempre está presente como 0 o 1</t>
        </is>
      </c>
      <c r="F19" s="6" t="inlineStr">
        <is>
          <t>backend/features/coco-export.feature</t>
        </is>
      </c>
      <c r="G19" s="6" t="inlineStr">
        <is>
          <t>backend/tests/coco-export.test.ts</t>
        </is>
      </c>
      <c r="H19" s="13" t="inlineStr">
        <is>
          <t>Sí</t>
        </is>
      </c>
      <c r="I19" s="6" t="inlineStr">
        <is>
          <t>Test cubre además el caso isCrowd=true -&gt; 1 (no ilustrado en Gherkin).</t>
        </is>
      </c>
      <c r="J19" s="6" t="inlineStr">
        <is>
          <t>Fase 4 — rama stage4-glue (PR #6, commit 1584b00, 2026-09-03)</t>
        </is>
      </c>
    </row>
    <row r="20">
      <c r="A20" s="6" t="inlineStr">
        <is>
          <t>SPEC-COCO-001</t>
        </is>
      </c>
      <c r="B20" s="6" t="inlineStr">
        <is>
          <t>Exportación COCO</t>
        </is>
      </c>
      <c r="C20" s="7" t="n">
        <v>5</v>
      </c>
      <c r="D20" s="6" t="inlineStr">
        <is>
          <t>Todo annotations[].image_id y category_id debe existir en images[] / categories[]</t>
        </is>
      </c>
      <c r="E20" s="6" t="inlineStr">
        <is>
          <t>Los IDs son consistentes entre secciones</t>
        </is>
      </c>
      <c r="F20" s="6" t="inlineStr">
        <is>
          <t>backend/features/coco-export.feature</t>
        </is>
      </c>
      <c r="G20" s="6" t="inlineStr">
        <is>
          <t>backend/tests/coco-export.test.ts</t>
        </is>
      </c>
      <c r="H20" s="13" t="inlineStr">
        <is>
          <t>Sí</t>
        </is>
      </c>
      <c r="I20" s="6" t="inlineStr"/>
      <c r="J20" s="6" t="inlineStr">
        <is>
          <t>Fase 4 — rama stage4-glue (PR #6, commit 1584b00, 2026-09-03)</t>
        </is>
      </c>
    </row>
    <row r="21">
      <c r="A21" s="6" t="inlineStr">
        <is>
          <t>SPEC-COCO-001</t>
        </is>
      </c>
      <c r="B21" s="6" t="inlineStr">
        <is>
          <t>Exportación COCO</t>
        </is>
      </c>
      <c r="C21" s="7" t="n">
        <v>6</v>
      </c>
      <c r="D21" s="6" t="inlineStr">
        <is>
          <t>La exportación incluye todas las imágenes, incluso las que no tienen anotaciones</t>
        </is>
      </c>
      <c r="E21" s="6" t="inlineStr">
        <is>
          <t>Las imágenes sin anotaciones también se incluyen</t>
        </is>
      </c>
      <c r="F21" s="6" t="inlineStr">
        <is>
          <t>backend/features/coco-export.feature</t>
        </is>
      </c>
      <c r="G21" s="6" t="inlineStr">
        <is>
          <t>backend/tests/coco-export.test.ts</t>
        </is>
      </c>
      <c r="H21" s="13" t="inlineStr">
        <is>
          <t>Sí</t>
        </is>
      </c>
      <c r="I21" s="6" t="inlineStr"/>
      <c r="J21" s="6" t="inlineStr">
        <is>
          <t>Fase 4 — rama stage4-glue (PR #6, commit 1584b00, 2026-09-03)</t>
        </is>
      </c>
    </row>
    <row r="22">
      <c r="A22" s="6" t="inlineStr">
        <is>
          <t>SPEC-DASH-001</t>
        </is>
      </c>
      <c r="B22" s="6" t="inlineStr">
        <is>
          <t>Métricas del dashboard</t>
        </is>
      </c>
      <c r="C22" s="7" t="n">
        <v>1</v>
      </c>
      <c r="D22" s="6" t="inlineStr">
        <is>
          <t>imagesUploaded es el total de imágenes registradas, sumando todos los estados</t>
        </is>
      </c>
      <c r="E22" s="6" t="inlineStr">
        <is>
          <t>El total de imágenes suma todos los estados</t>
        </is>
      </c>
      <c r="F22" s="6" t="inlineStr">
        <is>
          <t>backend/features/dashboard.feature</t>
        </is>
      </c>
      <c r="G22" s="6" t="inlineStr">
        <is>
          <t>backend/tests/dashboard.test.ts</t>
        </is>
      </c>
      <c r="H22" s="13" t="inlineStr">
        <is>
          <t>Sí</t>
        </is>
      </c>
      <c r="I22" s="6" t="inlineStr"/>
      <c r="J22" s="6" t="inlineStr">
        <is>
          <t>Fase 4 — rama stage4-glue (PR #6, commit 1584b00, 2026-09-03)</t>
        </is>
      </c>
    </row>
    <row r="23">
      <c r="A23" s="6" t="inlineStr">
        <is>
          <t>SPEC-DASH-001</t>
        </is>
      </c>
      <c r="B23" s="6" t="inlineStr">
        <is>
          <t>Métricas del dashboard</t>
        </is>
      </c>
      <c r="C23" s="7" t="n">
        <v>2</v>
      </c>
      <c r="D23" s="6" t="inlineStr">
        <is>
          <t>imagesAnnotated cuenta únicamente las imágenes en estado completed</t>
        </is>
      </c>
      <c r="E23" s="6" t="inlineStr">
        <is>
          <t>Solo las completadas cuentan como anotadas</t>
        </is>
      </c>
      <c r="F23" s="6" t="inlineStr">
        <is>
          <t>backend/features/dashboard.feature</t>
        </is>
      </c>
      <c r="G23" s="6" t="inlineStr">
        <is>
          <t>backend/tests/dashboard.test.ts</t>
        </is>
      </c>
      <c r="H23" s="13" t="inlineStr">
        <is>
          <t>Sí</t>
        </is>
      </c>
      <c r="I23" s="6" t="inlineStr"/>
      <c r="J23" s="6" t="inlineStr">
        <is>
          <t>Fase 4 — rama stage4-glue (PR #6, commit 1584b00, 2026-09-03)</t>
        </is>
      </c>
    </row>
    <row r="24">
      <c r="A24" s="6" t="inlineStr">
        <is>
          <t>SPEC-DASH-001</t>
        </is>
      </c>
      <c r="B24" s="6" t="inlineStr">
        <is>
          <t>Métricas del dashboard</t>
        </is>
      </c>
      <c r="C24" s="7" t="n">
        <v>3</v>
      </c>
      <c r="D24" s="6" t="inlineStr">
        <is>
          <t>boundingBoxes es el total de anotaciones del dataset</t>
        </is>
      </c>
      <c r="E24" s="6" t="inlineStr">
        <is>
          <t>— sin escenario Gherkin dedicado —</t>
        </is>
      </c>
      <c r="F24" s="6" t="inlineStr">
        <is>
          <t>backend/features/dashboard.feature</t>
        </is>
      </c>
      <c r="G24" s="6" t="inlineStr">
        <is>
          <t>backend/tests/dashboard.test.ts</t>
        </is>
      </c>
      <c r="H24" s="14" t="inlineStr">
        <is>
          <t>Parcial</t>
        </is>
      </c>
      <c r="I24" s="6" t="inlineStr">
        <is>
          <t>Cubierto por test ('refleja el total de bounding boxes') pero sin escenario Gherkin propio.</t>
        </is>
      </c>
      <c r="J24" s="6" t="inlineStr">
        <is>
          <t>Fase 4 — rama stage4-glue (PR #6, commit 1584b00, 2026-09-03)</t>
        </is>
      </c>
    </row>
    <row r="25">
      <c r="A25" s="6" t="inlineStr">
        <is>
          <t>SPEC-DASH-001</t>
        </is>
      </c>
      <c r="B25" s="6" t="inlineStr">
        <is>
          <t>Métricas del dashboard</t>
        </is>
      </c>
      <c r="C25" s="7" t="n">
        <v>4</v>
      </c>
      <c r="D25" s="6" t="inlineStr">
        <is>
          <t>categoriesCount es el total de categorías registradas</t>
        </is>
      </c>
      <c r="E25" s="6" t="inlineStr">
        <is>
          <t>— sin escenario Gherkin dedicado —</t>
        </is>
      </c>
      <c r="F25" s="6" t="inlineStr">
        <is>
          <t>backend/features/dashboard.feature</t>
        </is>
      </c>
      <c r="G25" s="6" t="inlineStr">
        <is>
          <t>backend/tests/dashboard.test.ts</t>
        </is>
      </c>
      <c r="H25" s="14" t="inlineStr">
        <is>
          <t>Parcial</t>
        </is>
      </c>
      <c r="I25" s="6" t="inlineStr">
        <is>
          <t>Cubierto por test ('refleja el total de categorías') pero sin escenario Gherkin propio.</t>
        </is>
      </c>
      <c r="J25" s="6" t="inlineStr">
        <is>
          <t>Fase 4 — rama stage4-glue (PR #6, commit 1584b00, 2026-09-03)</t>
        </is>
      </c>
    </row>
    <row r="26">
      <c r="A26" s="6" t="inlineStr">
        <is>
          <t>SPEC-DASH-001</t>
        </is>
      </c>
      <c r="B26" s="6" t="inlineStr">
        <is>
          <t>Métricas del dashboard</t>
        </is>
      </c>
      <c r="C26" s="7" t="n">
        <v>5</v>
      </c>
      <c r="D26" s="6" t="inlineStr">
        <is>
          <t>objectsPerClass agrupa por categoría con name/color persistidos; excluye categorías sin anotaciones</t>
        </is>
      </c>
      <c r="E26" s="6" t="inlineStr">
        <is>
          <t>Los objetos por clase conservan nombre y color</t>
        </is>
      </c>
      <c r="F26" s="6" t="inlineStr">
        <is>
          <t>backend/features/dashboard.feature</t>
        </is>
      </c>
      <c r="G26" s="6" t="inlineStr">
        <is>
          <t>backend/tests/dashboard.test.ts</t>
        </is>
      </c>
      <c r="H26" s="14" t="inlineStr">
        <is>
          <t>Parcial</t>
        </is>
      </c>
      <c r="I26" s="6" t="inlineStr">
        <is>
          <t>El test verifica name/color/count, pero ningún test/escenario verifica que una categoría sin anotaciones quede excluida.</t>
        </is>
      </c>
      <c r="J26" s="6" t="inlineStr">
        <is>
          <t>Fase 4 — rama stage4-glue (PR #6, commit 1584b00, 2026-09-03)</t>
        </is>
      </c>
    </row>
    <row r="27">
      <c r="A27" s="6" t="inlineStr">
        <is>
          <t>SPEC-DASH-001</t>
        </is>
      </c>
      <c r="B27" s="6" t="inlineStr">
        <is>
          <t>Métricas del dashboard</t>
        </is>
      </c>
      <c r="C27" s="7" t="n">
        <v>6</v>
      </c>
      <c r="D27" s="6" t="inlineStr">
        <is>
          <t>annotationProgress.annotated = completed; .pending = pending + in_progress</t>
        </is>
      </c>
      <c r="E27" s="6" t="inlineStr">
        <is>
          <t>El progreso separa lo terminado de lo pendiente</t>
        </is>
      </c>
      <c r="F27" s="6" t="inlineStr">
        <is>
          <t>backend/features/dashboard.feature</t>
        </is>
      </c>
      <c r="G27" s="6" t="inlineStr">
        <is>
          <t>backend/tests/dashboard.test.ts</t>
        </is>
      </c>
      <c r="H27" s="13" t="inlineStr">
        <is>
          <t>Sí</t>
        </is>
      </c>
      <c r="I27" s="6" t="inlineStr"/>
      <c r="J27" s="6" t="inlineStr">
        <is>
          <t>Fase 4 — rama stage4-glue (PR #6, commit 1584b00, 2026-09-03)</t>
        </is>
      </c>
    </row>
    <row r="28">
      <c r="A28" s="6" t="inlineStr">
        <is>
          <t>SPEC-DASH-001</t>
        </is>
      </c>
      <c r="B28" s="6" t="inlineStr">
        <is>
          <t>Métricas del dashboard</t>
        </is>
      </c>
      <c r="C28" s="7" t="n">
        <v>7</v>
      </c>
      <c r="D28" s="6" t="inlineStr">
        <is>
          <t>La suma annotated + pending debe ser igual a imagesUploaded</t>
        </is>
      </c>
      <c r="E28" s="6" t="inlineStr">
        <is>
          <t>El progreso siempre cuadra con el total</t>
        </is>
      </c>
      <c r="F28" s="6" t="inlineStr">
        <is>
          <t>backend/features/dashboard.feature</t>
        </is>
      </c>
      <c r="G28" s="6" t="inlineStr">
        <is>
          <t>backend/tests/dashboard.test.ts</t>
        </is>
      </c>
      <c r="H28" s="13" t="inlineStr">
        <is>
          <t>Sí</t>
        </is>
      </c>
      <c r="I28" s="6" t="inlineStr"/>
      <c r="J28" s="6" t="inlineStr">
        <is>
          <t>Fase 4 — rama stage4-glue (PR #6, commit 1584b00, 2026-09-03)</t>
        </is>
      </c>
    </row>
    <row r="29">
      <c r="A29" s="6" t="inlineStr">
        <is>
          <t>SPEC-DASH-001</t>
        </is>
      </c>
      <c r="B29" s="6" t="inlineStr">
        <is>
          <t>Métricas del dashboard</t>
        </is>
      </c>
      <c r="C29" s="7" t="n">
        <v>8</v>
      </c>
      <c r="D29" s="6" t="inlineStr">
        <is>
          <t>recentUploads usa la URL del binario servida por el backend, nunca una URL de MinIO</t>
        </is>
      </c>
      <c r="E29" s="6" t="inlineStr">
        <is>
          <t>Las miniaturas se sirven por el backend</t>
        </is>
      </c>
      <c r="F29" s="6" t="inlineStr">
        <is>
          <t>backend/features/dashboard.feature</t>
        </is>
      </c>
      <c r="G29" s="6" t="inlineStr">
        <is>
          <t>backend/tests/dashboard.test.ts</t>
        </is>
      </c>
      <c r="H29" s="13" t="inlineStr">
        <is>
          <t>Sí</t>
        </is>
      </c>
      <c r="I29" s="6" t="inlineStr"/>
      <c r="J29" s="6" t="inlineStr">
        <is>
          <t>Fase 4 — rama stage4-glue (PR #6, commit 1584b00, 2026-09-03)</t>
        </is>
      </c>
    </row>
    <row r="30">
      <c r="A30" s="6" t="inlineStr">
        <is>
          <t>SPEC-DASH-001</t>
        </is>
      </c>
      <c r="B30" s="6" t="inlineStr">
        <is>
          <t>Métricas del dashboard</t>
        </is>
      </c>
      <c r="C30" s="7" t="n">
        <v>9</v>
      </c>
      <c r="D30" s="6" t="inlineStr">
        <is>
          <t>Todos los conteos provienen de COUNT / GROUP BY en SQL (no se filtra en memoria)</t>
        </is>
      </c>
      <c r="E30" s="6" t="inlineStr">
        <is>
          <t>— no aplica a un test unitario —</t>
        </is>
      </c>
      <c r="F30" s="6" t="inlineStr">
        <is>
          <t>backend/features/dashboard.feature</t>
        </is>
      </c>
      <c r="G30" s="6" t="inlineStr">
        <is>
          <t>—</t>
        </is>
      </c>
      <c r="H30" s="16" t="inlineStr">
        <is>
          <t>N/A</t>
        </is>
      </c>
      <c r="I30" s="6" t="inlineStr">
        <is>
          <t>Regla de la capa Data (agregados SQL reales); el builder probado es una función pura que ya recibe los agregados calculados.</t>
        </is>
      </c>
      <c r="J30" s="6" t="inlineStr">
        <is>
          <t>Fase 4 — rama stage4-glue (PR #6, commit 1584b00, 2026-09-03)</t>
        </is>
      </c>
    </row>
    <row r="31">
      <c r="A31" s="6" t="inlineStr">
        <is>
          <t>SPEC-VALID-001</t>
        </is>
      </c>
      <c r="B31" s="6" t="inlineStr">
        <is>
          <t>Validación HTTP (Zod)</t>
        </is>
      </c>
      <c r="C31" s="7" t="n">
        <v>1</v>
      </c>
      <c r="D31" s="6" t="inlineStr">
        <is>
          <t>Body de POST /annotations (createAnnotationSchema): rechaza imageId nulo/no numérico/cero/negativo/ausente y body vacío; acepta uno válido</t>
        </is>
      </c>
      <c r="E31" s="6" t="inlineStr">
        <is>
          <t>Rechazar imageId nulo / no número / body vacío / imageId cero o negativo; Aceptar un body de anotación completo y válido</t>
        </is>
      </c>
      <c r="F31" s="6" t="inlineStr">
        <is>
          <t>backend/features/http-validation.feature</t>
        </is>
      </c>
      <c r="G31" s="6" t="inlineStr">
        <is>
          <t>backend/tests/http-validation.test.ts</t>
        </is>
      </c>
      <c r="H31" s="13" t="inlineStr">
        <is>
          <t>Sí</t>
        </is>
      </c>
      <c r="I31" s="6" t="inlineStr"/>
      <c r="J31" s="6" t="inlineStr">
        <is>
          <t>Fase 4 — rama stage4-glue (PR #6, commit 1584b00, 2026-09-03)</t>
        </is>
      </c>
    </row>
    <row r="32">
      <c r="A32" s="6" t="inlineStr">
        <is>
          <t>SPEC-VALID-001</t>
        </is>
      </c>
      <c r="B32" s="6" t="inlineStr">
        <is>
          <t>Validación HTTP (Zod)</t>
        </is>
      </c>
      <c r="C32" s="7" t="n">
        <v>2</v>
      </c>
      <c r="D32" s="6" t="inlineStr">
        <is>
          <t>Body de PATCH /annotations/:id (updateAnnotationSchema)</t>
        </is>
      </c>
      <c r="E32" s="6" t="inlineStr">
        <is>
          <t>— sin escenario Gherkin dedicado —</t>
        </is>
      </c>
      <c r="F32" s="6" t="inlineStr">
        <is>
          <t>backend/features/http-validation.feature</t>
        </is>
      </c>
      <c r="G32" s="6" t="inlineStr">
        <is>
          <t>backend/tests/http-validation.test.ts</t>
        </is>
      </c>
      <c r="H32" s="14" t="inlineStr">
        <is>
          <t>Parcial</t>
        </is>
      </c>
      <c r="I32" s="6" t="inlineStr">
        <is>
          <t>3 tests cubren updateAnnotationSchema, pero el .feature no tiene escenarios para esta frontera.</t>
        </is>
      </c>
      <c r="J32" s="6" t="inlineStr">
        <is>
          <t>Fase 4 — rama stage4-glue (PR #6, commit 1584b00, 2026-09-03)</t>
        </is>
      </c>
    </row>
    <row r="33">
      <c r="A33" s="6" t="inlineStr">
        <is>
          <t>SPEC-VALID-001</t>
        </is>
      </c>
      <c r="B33" s="6" t="inlineStr">
        <is>
          <t>Validación HTTP (Zod)</t>
        </is>
      </c>
      <c r="C33" s="7" t="n">
        <v>3</v>
      </c>
      <c r="D33" s="6" t="inlineStr">
        <is>
          <t>Body de PATCH /images/:id/status (imageStatusSchema): solo acepta el enum pending/in_progress/completed</t>
        </is>
      </c>
      <c r="E33" s="6" t="inlineStr">
        <is>
          <t>Rechazar un status que no pertenece al enum / con texto arbitrario; Aceptar los tres estados válidos</t>
        </is>
      </c>
      <c r="F33" s="6" t="inlineStr">
        <is>
          <t>backend/features/http-validation.feature</t>
        </is>
      </c>
      <c r="G33" s="6" t="inlineStr">
        <is>
          <t>backend/tests/http-validation.test.ts</t>
        </is>
      </c>
      <c r="H33" s="13" t="inlineStr">
        <is>
          <t>Sí</t>
        </is>
      </c>
      <c r="I33" s="6" t="inlineStr"/>
      <c r="J33" s="6" t="inlineStr">
        <is>
          <t>Fase 4 — rama stage4-glue (PR #6, commit 1584b00, 2026-09-03)</t>
        </is>
      </c>
    </row>
    <row r="34">
      <c r="A34" s="6" t="inlineStr">
        <is>
          <t>SPEC-VALID-001</t>
        </is>
      </c>
      <c r="B34" s="6" t="inlineStr">
        <is>
          <t>Validación HTTP (Zod)</t>
        </is>
      </c>
      <c r="C34" s="7" t="n">
        <v>4</v>
      </c>
      <c r="D34" s="6" t="inlineStr">
        <is>
          <t>Route param :id (idParamSchema): entero positivo, se convierte a number</t>
        </is>
      </c>
      <c r="E34" s="6" t="inlineStr">
        <is>
          <t>Rechazar un route param que no es entero positivo / el route param cero; Aceptar y convertir un route param numérico</t>
        </is>
      </c>
      <c r="F34" s="6" t="inlineStr">
        <is>
          <t>backend/features/http-validation.feature</t>
        </is>
      </c>
      <c r="G34" s="6" t="inlineStr">
        <is>
          <t>backend/tests/http-validation.test.ts</t>
        </is>
      </c>
      <c r="H34" s="13" t="inlineStr">
        <is>
          <t>Sí</t>
        </is>
      </c>
      <c r="I34" s="6" t="inlineStr"/>
      <c r="J34" s="6" t="inlineStr">
        <is>
          <t>Fase 4 — rama stage4-glue (PR #6, commit 1584b00, 2026-09-03)</t>
        </is>
      </c>
    </row>
    <row r="35">
      <c r="A35" s="6" t="inlineStr">
        <is>
          <t>SPEC-VALID-001</t>
        </is>
      </c>
      <c r="B35" s="6" t="inlineStr">
        <is>
          <t>Validación HTTP (Zod)</t>
        </is>
      </c>
      <c r="C35" s="7" t="n">
        <v>5</v>
      </c>
      <c r="D35" s="6" t="inlineStr">
        <is>
          <t>Query params de GET /images/search (imageSearchSchema)</t>
        </is>
      </c>
      <c r="E35" s="6" t="inlineStr">
        <is>
          <t>— sin escenario Gherkin —</t>
        </is>
      </c>
      <c r="F35" s="6" t="inlineStr">
        <is>
          <t>backend/features/http-validation.feature</t>
        </is>
      </c>
      <c r="G35" s="6" t="inlineStr">
        <is>
          <t>— sin test —</t>
        </is>
      </c>
      <c r="H35" s="15" t="inlineStr">
        <is>
          <t>No</t>
        </is>
      </c>
      <c r="I35" s="6" t="inlineStr">
        <is>
          <t>GAP REAL. imageSearchSchema existe en src/logic/annotation.validation.ts (líneas 193-225) pero ningún test ni escenario Gherkin lo ejercita directamente.</t>
        </is>
      </c>
      <c r="J35" s="6" t="inlineStr">
        <is>
          <t>Fase 4 — rama stage4-glue (PR #6, commit 1584b00, 2026-09-03)</t>
        </is>
      </c>
    </row>
    <row r="36">
      <c r="A36" s="6" t="inlineStr">
        <is>
          <t>SPEC-VALID-001</t>
        </is>
      </c>
      <c r="B36" s="6" t="inlineStr">
        <is>
          <t>Validación HTTP (Zod)</t>
        </is>
      </c>
      <c r="C36" s="7" t="n">
        <v>6</v>
      </c>
      <c r="D36" s="6" t="inlineStr">
        <is>
          <t>Variables de entorno (envSchema)</t>
        </is>
      </c>
      <c r="E36" s="6" t="inlineStr">
        <is>
          <t>— sin escenario Gherkin —</t>
        </is>
      </c>
      <c r="F36" s="6" t="inlineStr">
        <is>
          <t>backend/features/http-validation.feature</t>
        </is>
      </c>
      <c r="G36" s="6" t="inlineStr">
        <is>
          <t>— sin test —</t>
        </is>
      </c>
      <c r="H36" s="15" t="inlineStr">
        <is>
          <t>No</t>
        </is>
      </c>
      <c r="I36" s="6" t="inlineStr">
        <is>
          <t>GAP REAL. envSchema existe en src/config/env.ts pero no tiene test ni escenario Gherkin.</t>
        </is>
      </c>
      <c r="J36" s="6" t="inlineStr">
        <is>
          <t>Fase 4 — rama stage4-glue (PR #6, commit 1584b00, 2026-09-03)</t>
        </is>
      </c>
    </row>
    <row r="37">
      <c r="A37" s="6" t="inlineStr">
        <is>
          <t>SPEC-UPLOAD-001</t>
        </is>
      </c>
      <c r="B37" s="6" t="inlineStr">
        <is>
          <t>Carga de imágenes</t>
        </is>
      </c>
      <c r="C37" s="7" t="n">
        <v>1</v>
      </c>
      <c r="D37" s="6" t="inlineStr">
        <is>
          <t>Solo se aceptan archivos de imagen con tipos MIME permitidos (jpeg/png/webp)</t>
        </is>
      </c>
      <c r="E37" s="6" t="inlineStr">
        <is>
          <t>Aceptar una imagen JPEG válida; Rechazar un archivo que no sea imagen</t>
        </is>
      </c>
      <c r="F37" s="6" t="inlineStr">
        <is>
          <t>backend/features/image-upload.feature</t>
        </is>
      </c>
      <c r="G37" s="6" t="inlineStr">
        <is>
          <t>backend/tests/image-upload.test.ts</t>
        </is>
      </c>
      <c r="H37" s="13" t="inlineStr">
        <is>
          <t>Sí</t>
        </is>
      </c>
      <c r="I37" s="6" t="inlineStr">
        <is>
          <t>Ciclo TDD completo documentado en la hoja 'Evidencia TDD' (commits d52b307 / 0dfe05b / cd6e011).</t>
        </is>
      </c>
      <c r="J37" s="6" t="inlineStr">
        <is>
          <t>Fase 2 — rama backend/stage2-minio (PR #1, commit d52b307, 2026-08-31)</t>
        </is>
      </c>
    </row>
    <row r="38">
      <c r="A38" s="6" t="inlineStr">
        <is>
          <t>SPEC-UPLOAD-001</t>
        </is>
      </c>
      <c r="B38" s="6" t="inlineStr">
        <is>
          <t>Carga de imágenes</t>
        </is>
      </c>
      <c r="C38" s="7" t="n">
        <v>2</v>
      </c>
      <c r="D38" s="6" t="inlineStr">
        <is>
          <t>El archivo debe respetar el tamaño máximo configurado</t>
        </is>
      </c>
      <c r="E38" s="6" t="inlineStr">
        <is>
          <t>Rechazar una imagen demasiado grande</t>
        </is>
      </c>
      <c r="F38" s="6" t="inlineStr">
        <is>
          <t>backend/features/image-upload.feature</t>
        </is>
      </c>
      <c r="G38" s="6" t="inlineStr">
        <is>
          <t>backend/tests/image-upload.test.ts</t>
        </is>
      </c>
      <c r="H38" s="13" t="inlineStr">
        <is>
          <t>Sí</t>
        </is>
      </c>
      <c r="I38" s="6" t="inlineStr"/>
      <c r="J38" s="6" t="inlineStr">
        <is>
          <t>Fase 2 — rama backend/stage2-minio (PR #1, commit d52b307, 2026-08-31)</t>
        </is>
      </c>
    </row>
    <row r="39">
      <c r="A39" s="6" t="inlineStr">
        <is>
          <t>SPEC-UPLOAD-001</t>
        </is>
      </c>
      <c r="B39" s="6" t="inlineStr">
        <is>
          <t>Carga de imágenes</t>
        </is>
      </c>
      <c r="C39" s="7" t="n">
        <v>3</v>
      </c>
      <c r="D39" s="6" t="inlineStr">
        <is>
          <t>Una imagen válida debe almacenarse en MinIO</t>
        </is>
      </c>
      <c r="E39" s="6" t="inlineStr">
        <is>
          <t>— requiere integración real con MinIO —</t>
        </is>
      </c>
      <c r="F39" s="6" t="inlineStr">
        <is>
          <t>backend/features/image-upload.feature</t>
        </is>
      </c>
      <c r="G39" s="6" t="inlineStr">
        <is>
          <t>—</t>
        </is>
      </c>
      <c r="H39" s="15" t="inlineStr">
        <is>
          <t>No</t>
        </is>
      </c>
      <c r="I39" s="6" t="inlineStr">
        <is>
          <t>No cubierto por test unitario; requeriría test de integración contra un MinIO real o en memoria.</t>
        </is>
      </c>
      <c r="J39" s="6" t="inlineStr">
        <is>
          <t>Fase 2 — rama backend/stage2-minio (PR #1, commit d52b307, 2026-08-31)</t>
        </is>
      </c>
    </row>
    <row r="40">
      <c r="A40" s="6" t="inlineStr">
        <is>
          <t>SPEC-UPLOAD-001</t>
        </is>
      </c>
      <c r="B40" s="6" t="inlineStr">
        <is>
          <t>Carga de imágenes</t>
        </is>
      </c>
      <c r="C40" s="7" t="n">
        <v>4</v>
      </c>
      <c r="D40" s="6" t="inlineStr">
        <is>
          <t>Los metadatos de la imagen deben almacenarse en MariaDB</t>
        </is>
      </c>
      <c r="E40" s="6" t="inlineStr">
        <is>
          <t>— requiere integración real con MariaDB —</t>
        </is>
      </c>
      <c r="F40" s="6" t="inlineStr">
        <is>
          <t>backend/features/image-upload.feature</t>
        </is>
      </c>
      <c r="G40" s="6" t="inlineStr">
        <is>
          <t>—</t>
        </is>
      </c>
      <c r="H40" s="15" t="inlineStr">
        <is>
          <t>No</t>
        </is>
      </c>
      <c r="I40" s="6" t="inlineStr">
        <is>
          <t>No cubierto por test unitario; requeriría test de integración contra la base de datos.</t>
        </is>
      </c>
      <c r="J40" s="6" t="inlineStr">
        <is>
          <t>Fase 2 — rama backend/stage2-minio (PR #1, commit d52b307, 2026-08-31)</t>
        </is>
      </c>
    </row>
    <row r="41">
      <c r="A41" s="6" t="inlineStr">
        <is>
          <t>SPEC-UPLOAD-001</t>
        </is>
      </c>
      <c r="B41" s="6" t="inlineStr">
        <is>
          <t>Carga de imágenes</t>
        </is>
      </c>
      <c r="C41" s="7" t="n">
        <v>5</v>
      </c>
      <c r="D41" s="6" t="inlineStr">
        <is>
          <t>La UI no debe acceder directamente a MinIO ni a MariaDB</t>
        </is>
      </c>
      <c r="E41" s="6" t="inlineStr">
        <is>
          <t>— regla arquitectónica —</t>
        </is>
      </c>
      <c r="F41" s="6" t="inlineStr">
        <is>
          <t>backend/features/image-upload.feature</t>
        </is>
      </c>
      <c r="G41" s="6" t="inlineStr">
        <is>
          <t>—</t>
        </is>
      </c>
      <c r="H41" s="16" t="inlineStr">
        <is>
          <t>N/A</t>
        </is>
      </c>
      <c r="I41" s="6" t="inlineStr">
        <is>
          <t>Se verifica por revisión de código / estructura de capas (README), no por test automatizado.</t>
        </is>
      </c>
      <c r="J41" s="6" t="inlineStr">
        <is>
          <t>Fase 2 — rama backend/stage2-minio (PR #1, commit d52b307, 2026-08-31)</t>
        </is>
      </c>
    </row>
    <row r="42">
      <c r="A42" s="6" t="inlineStr">
        <is>
          <t>SPEC-UPLOAD-001</t>
        </is>
      </c>
      <c r="B42" s="6" t="inlineStr">
        <is>
          <t>Carga de imágenes</t>
        </is>
      </c>
      <c r="C42" s="7" t="n">
        <v>6</v>
      </c>
      <c r="D42" s="6" t="inlineStr">
        <is>
          <t>Si la validación falla, la imagen no debe almacenarse</t>
        </is>
      </c>
      <c r="E42" s="6" t="inlineStr">
        <is>
          <t>(implícita en el escenario de rechazo por tamaño/tipo)</t>
        </is>
      </c>
      <c r="F42" s="6" t="inlineStr">
        <is>
          <t>backend/features/image-upload.feature</t>
        </is>
      </c>
      <c r="G42" s="6" t="inlineStr">
        <is>
          <t>backend/tests/image-upload.test.ts</t>
        </is>
      </c>
      <c r="H42" s="13" t="inlineStr">
        <is>
          <t>Sí</t>
        </is>
      </c>
      <c r="I42" s="6" t="inlineStr"/>
      <c r="J42" s="6" t="inlineStr">
        <is>
          <t>Fase 2 — rama backend/stage2-minio (PR #1, commit d52b307, 2026-08-31)</t>
        </is>
      </c>
    </row>
    <row r="43">
      <c r="A43" s="6" t="inlineStr">
        <is>
          <t>SPEC-UPLOAD-001</t>
        </is>
      </c>
      <c r="B43" s="6" t="inlineStr">
        <is>
          <t>Carga de imágenes</t>
        </is>
      </c>
      <c r="C43" s="7" t="n">
        <v>7</v>
      </c>
      <c r="D43" s="6" t="inlineStr">
        <is>
          <t>El storageKey guardado en MariaDB debe identificar el objeto almacenado en MinIO</t>
        </is>
      </c>
      <c r="E43" s="6" t="inlineStr">
        <is>
          <t>— requiere integración real —</t>
        </is>
      </c>
      <c r="F43" s="6" t="inlineStr">
        <is>
          <t>backend/features/image-upload.feature</t>
        </is>
      </c>
      <c r="G43" s="6" t="inlineStr">
        <is>
          <t>—</t>
        </is>
      </c>
      <c r="H43" s="15" t="inlineStr">
        <is>
          <t>No</t>
        </is>
      </c>
      <c r="I43" s="6" t="inlineStr">
        <is>
          <t>No cubierto por test unitario.</t>
        </is>
      </c>
      <c r="J43" s="6" t="inlineStr">
        <is>
          <t>Fase 2 — rama backend/stage2-minio (PR #1, commit d52b307, 2026-08-31)</t>
        </is>
      </c>
    </row>
    <row r="44">
      <c r="A44" s="6" t="inlineStr">
        <is>
          <t>SPEC-SEARCH-001</t>
        </is>
      </c>
      <c r="B44" s="6" t="inlineStr">
        <is>
          <t>Búsqueda por clases</t>
        </is>
      </c>
      <c r="C44" s="7" t="n">
        <v>1</v>
      </c>
      <c r="D44" s="6" t="inlineStr">
        <is>
          <t>AND/OR se reconocen solo en mayúsculas y como palabra completa (android no contiene AND)</t>
        </is>
      </c>
      <c r="E44" s="6" t="inlineStr">
        <is>
          <t>Una clase que contiene la palabra AND no se parte</t>
        </is>
      </c>
      <c r="F44" s="6" t="inlineStr">
        <is>
          <t>backend/features/search.feature</t>
        </is>
      </c>
      <c r="G44" s="6" t="inlineStr">
        <is>
          <t>backend/tests/search.test.ts</t>
        </is>
      </c>
      <c r="H44" s="13" t="inlineStr">
        <is>
          <t>Sí</t>
        </is>
      </c>
      <c r="I44" s="6" t="inlineStr">
        <is>
          <t>Test añade además el caso 'tractor' (OR) y el literal 'and' en minúsculas, no ilustrados en Gherkin.</t>
        </is>
      </c>
      <c r="J44" s="6" t="inlineStr">
        <is>
          <t>Fase 4 — rama stage4-glue (PR #6, commit 1584b00, 2026-09-03)</t>
        </is>
      </c>
    </row>
    <row r="45">
      <c r="A45" s="6" t="inlineStr">
        <is>
          <t>SPEC-SEARCH-001</t>
        </is>
      </c>
      <c r="B45" s="6" t="inlineStr">
        <is>
          <t>Búsqueda por clases</t>
        </is>
      </c>
      <c r="C45" s="7" t="n">
        <v>2</v>
      </c>
      <c r="D45" s="6" t="inlineStr">
        <is>
          <t>Los espacios sobrantes se descartan</t>
        </is>
      </c>
      <c r="E45" s="6" t="inlineStr">
        <is>
          <t>Ignorar espacios sobrantes</t>
        </is>
      </c>
      <c r="F45" s="6" t="inlineStr">
        <is>
          <t>backend/features/search.feature</t>
        </is>
      </c>
      <c r="G45" s="6" t="inlineStr">
        <is>
          <t>backend/tests/search.test.ts</t>
        </is>
      </c>
      <c r="H45" s="13" t="inlineStr">
        <is>
          <t>Sí</t>
        </is>
      </c>
      <c r="I45" s="6" t="inlineStr"/>
      <c r="J45" s="6" t="inlineStr">
        <is>
          <t>Fase 4 — rama stage4-glue (PR #6, commit 1584b00, 2026-09-03)</t>
        </is>
      </c>
    </row>
    <row r="46">
      <c r="A46" s="6" t="inlineStr">
        <is>
          <t>SPEC-SEARCH-001</t>
        </is>
      </c>
      <c r="B46" s="6" t="inlineStr">
        <is>
          <t>Búsqueda por clases</t>
        </is>
      </c>
      <c r="C46" s="7" t="n">
        <v>3</v>
      </c>
      <c r="D46" s="6" t="inlineStr">
        <is>
          <t>Una consulta con un solo término es válida y no requiere operador</t>
        </is>
      </c>
      <c r="E46" s="6" t="inlineStr">
        <is>
          <t>Buscar una sola clase</t>
        </is>
      </c>
      <c r="F46" s="6" t="inlineStr">
        <is>
          <t>backend/features/search.feature</t>
        </is>
      </c>
      <c r="G46" s="6" t="inlineStr">
        <is>
          <t>backend/tests/search.test.ts</t>
        </is>
      </c>
      <c r="H46" s="13" t="inlineStr">
        <is>
          <t>Sí</t>
        </is>
      </c>
      <c r="I46" s="6" t="inlineStr"/>
      <c r="J46" s="6" t="inlineStr">
        <is>
          <t>Fase 4 — rama stage4-glue (PR #6, commit 1584b00, 2026-09-03)</t>
        </is>
      </c>
    </row>
    <row r="47">
      <c r="A47" s="6" t="inlineStr">
        <is>
          <t>SPEC-SEARCH-001</t>
        </is>
      </c>
      <c r="B47" s="6" t="inlineStr">
        <is>
          <t>Búsqueda por clases</t>
        </is>
      </c>
      <c r="C47" s="7" t="n">
        <v>4</v>
      </c>
      <c r="D47" s="6" t="inlineStr">
        <is>
          <t>Una consulta vacía o con solo espacios se trata como "sin búsqueda" (null, no error)</t>
        </is>
      </c>
      <c r="E47" s="6" t="inlineStr">
        <is>
          <t>Una consulta vacía no aplica búsqueda</t>
        </is>
      </c>
      <c r="F47" s="6" t="inlineStr">
        <is>
          <t>backend/features/search.feature</t>
        </is>
      </c>
      <c r="G47" s="6" t="inlineStr">
        <is>
          <t>backend/tests/search.test.ts</t>
        </is>
      </c>
      <c r="H47" s="13" t="inlineStr">
        <is>
          <t>Sí</t>
        </is>
      </c>
      <c r="I47" s="6" t="inlineStr"/>
      <c r="J47" s="6" t="inlineStr">
        <is>
          <t>Fase 4 — rama stage4-glue (PR #6, commit 1584b00, 2026-09-03)</t>
        </is>
      </c>
    </row>
    <row r="48">
      <c r="A48" s="6" t="inlineStr">
        <is>
          <t>SPEC-SEARCH-001</t>
        </is>
      </c>
      <c r="B48" s="6" t="inlineStr">
        <is>
          <t>Búsqueda por clases</t>
        </is>
      </c>
      <c r="C48" s="7" t="n">
        <v>5</v>
      </c>
      <c r="D48" s="6" t="inlineStr">
        <is>
          <t>No se permite mezclar operadores distintos en la misma consulta</t>
        </is>
      </c>
      <c r="E48" s="6" t="inlineStr">
        <is>
          <t>No se permite mezclar operadores distintos</t>
        </is>
      </c>
      <c r="F48" s="6" t="inlineStr">
        <is>
          <t>backend/features/search.feature</t>
        </is>
      </c>
      <c r="G48" s="6" t="inlineStr">
        <is>
          <t>backend/tests/search.test.ts</t>
        </is>
      </c>
      <c r="H48" s="13" t="inlineStr">
        <is>
          <t>Sí</t>
        </is>
      </c>
      <c r="I48" s="6" t="inlineStr"/>
      <c r="J48" s="6" t="inlineStr">
        <is>
          <t>Fase 4 — rama stage4-glue (PR #6, commit 1584b00, 2026-09-03)</t>
        </is>
      </c>
    </row>
    <row r="49">
      <c r="A49" s="6" t="inlineStr">
        <is>
          <t>SPEC-SEARCH-001</t>
        </is>
      </c>
      <c r="B49" s="6" t="inlineStr">
        <is>
          <t>Búsqueda por clases</t>
        </is>
      </c>
      <c r="C49" s="7" t="n">
        <v>6</v>
      </c>
      <c r="D49" s="6" t="inlineStr">
        <is>
          <t>No se permite un operador sin términos a ambos lados</t>
        </is>
      </c>
      <c r="E49" s="6" t="inlineStr">
        <is>
          <t>No se permite un operador sin término a la derecha; a la izquierda</t>
        </is>
      </c>
      <c r="F49" s="6" t="inlineStr">
        <is>
          <t>backend/features/search.feature</t>
        </is>
      </c>
      <c r="G49" s="6" t="inlineStr">
        <is>
          <t>backend/tests/search.test.ts</t>
        </is>
      </c>
      <c r="H49" s="13" t="inlineStr">
        <is>
          <t>Sí</t>
        </is>
      </c>
      <c r="I49" s="6" t="inlineStr">
        <is>
          <t>Test añade además 'dos operadores consecutivos' y 'OR sin término a la derecha', no ilustrados en Gherkin.</t>
        </is>
      </c>
      <c r="J49" s="6" t="inlineStr">
        <is>
          <t>Fase 4 — rama stage4-glue (PR #6, commit 1584b00, 2026-09-03)</t>
        </is>
      </c>
    </row>
    <row r="50">
      <c r="A50" s="6" t="inlineStr">
        <is>
          <t>SPEC-SEARCH-001</t>
        </is>
      </c>
      <c r="B50" s="6" t="inlineStr">
        <is>
          <t>Búsqueda por clases</t>
        </is>
      </c>
      <c r="C50" s="7" t="n">
        <v>7</v>
      </c>
      <c r="D50" s="6" t="inlineStr">
        <is>
          <t>Los nombres de clase se normalizan a minúsculas</t>
        </is>
      </c>
      <c r="E50" s="6" t="inlineStr">
        <is>
          <t>Normalizar términos a minúsculas</t>
        </is>
      </c>
      <c r="F50" s="6" t="inlineStr">
        <is>
          <t>backend/features/search.feature</t>
        </is>
      </c>
      <c r="G50" s="6" t="inlineStr">
        <is>
          <t>backend/tests/search.test.ts</t>
        </is>
      </c>
      <c r="H50" s="13" t="inlineStr">
        <is>
          <t>Sí</t>
        </is>
      </c>
      <c r="I50" s="6" t="inlineStr"/>
      <c r="J50" s="6" t="inlineStr">
        <is>
          <t>Fase 4 — rama stage4-glue (PR #6, commit 1584b00, 2026-09-03)</t>
        </is>
      </c>
    </row>
    <row r="51">
      <c r="A51" s="6" t="inlineStr">
        <is>
          <t>SPEC-SEARCH-001</t>
        </is>
      </c>
      <c r="B51" s="6" t="inlineStr">
        <is>
          <t>Búsqueda por clases</t>
        </is>
      </c>
      <c r="C51" s="7" t="n">
        <v>8</v>
      </c>
      <c r="D51" s="6" t="inlineStr">
        <is>
          <t>La búsqueda se resuelve en SQL vía subconsultas EXISTS, sin cargar filas en memoria</t>
        </is>
      </c>
      <c r="E51" s="6" t="inlineStr">
        <is>
          <t>— no aplica a un test unitario —</t>
        </is>
      </c>
      <c r="F51" s="6" t="inlineStr">
        <is>
          <t>backend/features/search.feature</t>
        </is>
      </c>
      <c r="G51" s="6" t="inlineStr">
        <is>
          <t>—</t>
        </is>
      </c>
      <c r="H51" s="16" t="inlineStr">
        <is>
          <t>N/A</t>
        </is>
      </c>
      <c r="I51" s="6" t="inlineStr">
        <is>
          <t>Regla de la capa Data (traducción a SQL); el parser probado es una función pura previa a la consulta.</t>
        </is>
      </c>
      <c r="J51" s="6" t="inlineStr">
        <is>
          <t>Fase 4 — rama stage4-glue (PR #6, commit 1584b00, 2026-09-03)</t>
        </is>
      </c>
    </row>
    <row r="52">
      <c r="A52" s="6" t="inlineStr">
        <is>
          <t>SPEC-COCO-UI-001</t>
        </is>
      </c>
      <c r="B52" s="6" t="inlineStr">
        <is>
          <t>Exportación COCO — botón Dashboard (frontend)</t>
        </is>
      </c>
      <c r="C52" s="7" t="n">
        <v>1</v>
      </c>
      <c r="D52" s="6" t="inlineStr">
        <is>
          <t>El Dashboard debe mostrar una acción visible llamada "Exportar COCO"</t>
        </is>
      </c>
      <c r="E52" s="6" t="inlineStr">
        <is>
          <t>Mostrar la acción de exportación COCO</t>
        </is>
      </c>
      <c r="F52" s="6" t="inlineStr">
        <is>
          <t>frontend/features/coco-export-button.feature</t>
        </is>
      </c>
      <c r="G52" s="6" t="inlineStr">
        <is>
          <t>frontend/tests/dashboard-export.test.tsx</t>
        </is>
      </c>
      <c r="H52" s="13" t="inlineStr">
        <is>
          <t>Sí</t>
        </is>
      </c>
      <c r="I52" s="6" t="inlineStr">
        <is>
          <t>Ciclo TDD completo documentado en la hoja 'Evidencia TDD' (commits 91b5540 / a58d6fd / 1aa3792).</t>
        </is>
      </c>
      <c r="J52" s="6" t="inlineStr">
        <is>
          <t>Post fase 5 — rama tdd/coco-export-button (PR #8, commit 91b5540, 2026-09-04)</t>
        </is>
      </c>
    </row>
    <row r="53">
      <c r="A53" s="6" t="inlineStr">
        <is>
          <t>SPEC-COCO-UI-001</t>
        </is>
      </c>
      <c r="B53" s="6" t="inlineStr">
        <is>
          <t>Exportación COCO — botón Dashboard (frontend)</t>
        </is>
      </c>
      <c r="C53" s="7" t="n">
        <v>2</v>
      </c>
      <c r="D53" s="6" t="inlineStr">
        <is>
          <t>La acción debe utilizar el endpoint GET /export/coco</t>
        </is>
      </c>
      <c r="E53" s="6" t="inlineStr">
        <is>
          <t>La acción utiliza el endpoint de exportación</t>
        </is>
      </c>
      <c r="F53" s="6" t="inlineStr">
        <is>
          <t>frontend/features/coco-export-button.feature</t>
        </is>
      </c>
      <c r="G53" s="6" t="inlineStr">
        <is>
          <t>frontend/tests/dashboard-export.test.tsx</t>
        </is>
      </c>
      <c r="H53" s="13" t="inlineStr">
        <is>
          <t>Sí</t>
        </is>
      </c>
      <c r="I53" s="6" t="inlineStr"/>
      <c r="J53" s="6" t="inlineStr">
        <is>
          <t>Post fase 5 — rama tdd/coco-export-button (PR #8, commit 91b5540, 2026-09-04)</t>
        </is>
      </c>
    </row>
    <row r="54">
      <c r="A54" s="6" t="inlineStr">
        <is>
          <t>SPEC-COCO-UI-001</t>
        </is>
      </c>
      <c r="B54" s="6" t="inlineStr">
        <is>
          <t>Exportación COCO — botón Dashboard (frontend)</t>
        </is>
      </c>
      <c r="C54" s="7" t="n">
        <v>3</v>
      </c>
      <c r="D54" s="6" t="inlineStr">
        <is>
          <t>El frontend no debe construir el JSON COCO ni consultar MariaDB o MinIO</t>
        </is>
      </c>
      <c r="E54" s="6" t="inlineStr">
        <is>
          <t>— regla arquitectónica —</t>
        </is>
      </c>
      <c r="F54" s="6" t="inlineStr">
        <is>
          <t>frontend/features/coco-export-button.feature</t>
        </is>
      </c>
      <c r="G54" s="6" t="inlineStr">
        <is>
          <t>—</t>
        </is>
      </c>
      <c r="H54" s="16" t="inlineStr">
        <is>
          <t>N/A</t>
        </is>
      </c>
      <c r="I54" s="6" t="inlineStr">
        <is>
          <t>Se verifica por revisión de código (el link solo apunta al endpoint del backend).</t>
        </is>
      </c>
      <c r="J54" s="6" t="inlineStr">
        <is>
          <t>Post fase 5 — rama tdd/coco-export-button (PR #8, commit 91b5540, 2026-09-04)</t>
        </is>
      </c>
    </row>
    <row r="55">
      <c r="A55" s="6" t="inlineStr">
        <is>
          <t>SPEC-COCO-UI-001</t>
        </is>
      </c>
      <c r="B55" s="6" t="inlineStr">
        <is>
          <t>Exportación COCO — botón Dashboard (frontend)</t>
        </is>
      </c>
      <c r="C55" s="7" t="n">
        <v>4</v>
      </c>
      <c r="D55" s="6" t="inlineStr">
        <is>
          <t>La descarga debe delegarse completamente al backend</t>
        </is>
      </c>
      <c r="E55" s="6" t="inlineStr">
        <is>
          <t>(implícita en la regla 2: el link apunta al endpoint del backend)</t>
        </is>
      </c>
      <c r="F55" s="6" t="inlineStr">
        <is>
          <t>frontend/features/coco-export-button.feature</t>
        </is>
      </c>
      <c r="G55" s="6" t="inlineStr">
        <is>
          <t>frontend/tests/dashboard-export.test.tsx</t>
        </is>
      </c>
      <c r="H55" s="13" t="inlineStr">
        <is>
          <t>Sí</t>
        </is>
      </c>
      <c r="I55" s="6" t="inlineStr"/>
      <c r="J55" s="6" t="inlineStr">
        <is>
          <t>Post fase 5 — rama tdd/coco-export-button (PR #8, commit 91b5540, 2026-09-04)</t>
        </is>
      </c>
    </row>
    <row r="56">
      <c r="A56" s="6" t="inlineStr">
        <is>
          <t>SPEC-COCO-UI-001</t>
        </is>
      </c>
      <c r="B56" s="6" t="inlineStr">
        <is>
          <t>Exportación COCO — botón Dashboard (frontend)</t>
        </is>
      </c>
      <c r="C56" s="7" t="n">
        <v>5</v>
      </c>
      <c r="D56" s="6" t="inlineStr">
        <is>
          <t>El endpoint debe respetar la configuración de URL del API del frontend (VITE_API_BASE_URL)</t>
        </is>
      </c>
      <c r="E56" s="6" t="inlineStr">
        <is>
          <t>— sin escenario Gherkin —</t>
        </is>
      </c>
      <c r="F56" s="6" t="inlineStr">
        <is>
          <t>frontend/features/coco-export-button.feature</t>
        </is>
      </c>
      <c r="G56" s="6" t="inlineStr">
        <is>
          <t>frontend/tests/dashboard-export.test.tsx</t>
        </is>
      </c>
      <c r="H56" s="14" t="inlineStr">
        <is>
          <t>Parcial</t>
        </is>
      </c>
      <c r="I56" s="6" t="inlineStr">
        <is>
          <t>El test verifica el href literal '/api/export/coco' (fijo), no que el link cambie si VITE_API_BASE_URL cambia; buildApiUrl() se añadió en el refactor 1aa3792 pero sin test que varíe la configuración.</t>
        </is>
      </c>
      <c r="J56" s="6" t="inlineStr">
        <is>
          <t>Post fase 5 — rama tdd/coco-export-button (PR #8, commit 91b5540, 2026-09-04)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34" customWidth="1" min="4" max="4"/>
    <col width="42" customWidth="1" min="5" max="5"/>
    <col width="16" customWidth="1" min="6" max="6"/>
    <col width="46" customWidth="1" min="7" max="7"/>
  </cols>
  <sheetData>
    <row r="1" ht="22" customHeight="1">
      <c r="A1" s="1" t="inlineStr">
        <is>
          <t>Evidencia de ciclo Red → Green → Refactor en el historial de commits</t>
        </is>
      </c>
    </row>
    <row r="2" ht="28" customHeight="1">
      <c r="A2" s="2" t="inlineStr">
        <is>
          <t>Repositorio: github.com/karenelizabg/proyecto1 — verificado con 'git show &lt;hash&gt;' y 'git show --stat &lt;hash&gt;' sobre el historial real de la rama main. Se documentan los dos ciclos TDD explícitos encontrados en el historial.</t>
        </is>
      </c>
    </row>
    <row r="4" ht="28" customHeight="1">
      <c r="A4" s="5" t="inlineStr">
        <is>
          <t>Fase</t>
        </is>
      </c>
      <c r="B4" s="5" t="inlineStr">
        <is>
          <t>Commit</t>
        </is>
      </c>
      <c r="C4" s="5" t="inlineStr">
        <is>
          <t>Fecha</t>
        </is>
      </c>
      <c r="D4" s="5" t="inlineStr">
        <is>
          <t>Mensaje</t>
        </is>
      </c>
      <c r="E4" s="5" t="inlineStr">
        <is>
          <t>Archivos modificados</t>
        </is>
      </c>
      <c r="F4" s="5" t="inlineStr">
        <is>
          <t>Líneas +/-</t>
        </is>
      </c>
      <c r="G4" s="5" t="inlineStr">
        <is>
          <t>Resultado al ejecutar la suite / evidencia en el diff</t>
        </is>
      </c>
    </row>
    <row r="5">
      <c r="A5" s="17" t="inlineStr">
        <is>
          <t>RED</t>
        </is>
      </c>
      <c r="B5" s="6" t="inlineStr">
        <is>
          <t>d52b307</t>
        </is>
      </c>
      <c r="C5" s="6" t="inlineStr">
        <is>
          <t>2026-08-31 06:39</t>
        </is>
      </c>
      <c r="D5" s="6" t="inlineStr">
        <is>
          <t>test: add failing image upload validation scenarios</t>
        </is>
      </c>
      <c r="E5" s="6" t="inlineStr">
        <is>
          <t>features/image-upload.feature (+22, nuevo); specs/image-upload.spec.md (+25, nuevo); src/logic/image-upload.validation.ts (nuevo, stub); tests/image-upload.test.ts (nuevo, 3 tests)</t>
        </is>
      </c>
      <c r="F5" s="6" t="inlineStr">
        <is>
          <t>+114 / -0</t>
        </is>
      </c>
      <c r="G5" s="6" t="inlineStr">
        <is>
          <t>FALLA (por diseño): validateImageUpload() es un stub que siempre retorna {success:false}. El test 'acepta una imagen JPEG válida' espera success=true y falla.</t>
        </is>
      </c>
    </row>
    <row r="6">
      <c r="A6" s="18" t="inlineStr">
        <is>
          <t>GREEN</t>
        </is>
      </c>
      <c r="B6" s="6" t="inlineStr">
        <is>
          <t>0dfe05b</t>
        </is>
      </c>
      <c r="C6" s="6" t="inlineStr">
        <is>
          <t>2026-08-31 06:42</t>
        </is>
      </c>
      <c r="D6" s="6" t="inlineStr">
        <is>
          <t>feat: implement image upload validation</t>
        </is>
      </c>
      <c r="E6" s="6" t="inlineStr">
        <is>
          <t>src/logic/image-upload.validation.ts (+22 / -10)</t>
        </is>
      </c>
      <c r="F6" s="6" t="inlineStr">
        <is>
          <t>+22 / -10</t>
        </is>
      </c>
      <c r="G6" s="6" t="inlineStr">
        <is>
          <t>PASA: se reemplaza el stub por un schema Zod real (enum de MIME permitidos + límite de tamaño). Los 3 tests de tests/image-upload.test.ts pasan.</t>
        </is>
      </c>
    </row>
    <row r="7">
      <c r="A7" s="19" t="inlineStr">
        <is>
          <t>REFACTOR</t>
        </is>
      </c>
      <c r="B7" s="6" t="inlineStr">
        <is>
          <t>cd6e011</t>
        </is>
      </c>
      <c r="C7" s="6" t="inlineStr">
        <is>
          <t>2026-08-31 06:45</t>
        </is>
      </c>
      <c r="D7" s="6" t="inlineStr">
        <is>
          <t>refactor: extract image upload schema creation</t>
        </is>
      </c>
      <c r="E7" s="6" t="inlineStr">
        <is>
          <t>src/logic/image-upload.validation.ts (+11 / -5)</t>
        </is>
      </c>
      <c r="F7" s="6" t="inlineStr">
        <is>
          <t>+11 / -5</t>
        </is>
      </c>
      <c r="G7" s="6" t="inlineStr">
        <is>
          <t>SIGUE EN VERDE: se extrae createImageUploadSchema(maxSizeBytes) como función independiente, sin tocar la lógica de validación ni las aserciones de los tests.</t>
        </is>
      </c>
    </row>
    <row r="8" ht="6" customHeight="1"/>
    <row r="9">
      <c r="A9" s="17" t="inlineStr">
        <is>
          <t>RED</t>
        </is>
      </c>
      <c r="B9" s="6" t="inlineStr">
        <is>
          <t>91b5540</t>
        </is>
      </c>
      <c r="C9" s="6" t="inlineStr">
        <is>
          <t>2026-09-04 22:44</t>
        </is>
      </c>
      <c r="D9" s="6" t="inlineStr">
        <is>
          <t>test(frontend): add failing COCO export button scenarios</t>
        </is>
      </c>
      <c r="E9" s="6" t="inlineStr">
        <is>
          <t>frontend/tests/dashboard-export.test.tsx (nuevo, 2 tests); frontend/src/test/setup.ts, frontend/tsconfig.json, frontend/vitest.config.ts (config de test)</t>
        </is>
      </c>
      <c r="F9" s="6" t="inlineStr">
        <is>
          <t>+1533 / -9 (incluye dependencias de testing agregadas)</t>
        </is>
      </c>
      <c r="G9" s="6" t="inlineStr">
        <is>
          <t>FALLA (por diseño): DashboardPage no tiene ningún link 'Exportar COCO'. screen.getByRole('link', {name:/exportar coco/i}) no encuentra el elemento en ambos tests.</t>
        </is>
      </c>
    </row>
    <row r="10">
      <c r="A10" s="18" t="inlineStr">
        <is>
          <t>GREEN</t>
        </is>
      </c>
      <c r="B10" s="6" t="inlineStr">
        <is>
          <t>a58d6fd</t>
        </is>
      </c>
      <c r="C10" s="6" t="inlineStr">
        <is>
          <t>2026-09-04 22:53</t>
        </is>
      </c>
      <c r="D10" s="6" t="inlineStr">
        <is>
          <t>feat(frontend): enable COCO dataset download</t>
        </is>
      </c>
      <c r="E10" s="6" t="inlineStr">
        <is>
          <t>frontend/src/pages/Dashboard.tsx (+9 / -1); frontend/tests/dashboard-export.test.tsx (+18 / -2)</t>
        </is>
      </c>
      <c r="F10" s="6" t="inlineStr">
        <is>
          <t>+24 / -3</t>
        </is>
      </c>
      <c r="G10" s="6" t="inlineStr">
        <is>
          <t>PASA: se agrega el &lt;a href="/api/export/coco"&gt; con el ícono Download y el texto 'Exportar COCO'. Los 2 tests de dashboard-export.test.tsx pasan.</t>
        </is>
      </c>
    </row>
    <row r="11">
      <c r="A11" s="19" t="inlineStr">
        <is>
          <t>REFACTOR</t>
        </is>
      </c>
      <c r="B11" s="6" t="inlineStr">
        <is>
          <t>1aa3792</t>
        </is>
      </c>
      <c r="C11" s="6" t="inlineStr">
        <is>
          <t>2026-09-04 23:07</t>
        </is>
      </c>
      <c r="D11" s="6" t="inlineStr">
        <is>
          <t>refactor(frontend): reuse configured API URL for COCO export</t>
        </is>
      </c>
      <c r="E11" s="6" t="inlineStr">
        <is>
          <t>frontend/src/api/client.ts (+8 / -1, nueva función buildApiUrl); frontend/src/pages/Dashboard.tsx (+2 / -1)</t>
        </is>
      </c>
      <c r="F11" s="6" t="inlineStr">
        <is>
          <t>+10 / -2</t>
        </is>
      </c>
      <c r="G11" s="6" t="inlineStr">
        <is>
          <t>SIGUE EN VERDE: se reemplaza la URL hardcodeada '/api/export/coco' por buildApiUrl('/export/coco'), reutilizando la misma configuración de VITE_API_BASE_URL que el resto del cliente HTTP. Sin cambio de comportamiento observable; los 2 tests siguen pasando.</t>
        </is>
      </c>
    </row>
    <row r="12">
      <c r="A12" s="20" t="inlineStr">
        <is>
          <t>TEST (post-refactor)</t>
        </is>
      </c>
      <c r="B12" s="6" t="inlineStr">
        <is>
          <t>c0b451f</t>
        </is>
      </c>
      <c r="C12" s="6" t="inlineStr">
        <is>
          <t>2026-09-04 23:18</t>
        </is>
      </c>
      <c r="D12" s="6" t="inlineStr">
        <is>
          <t>test(frontend): simplify COCO export test setup</t>
        </is>
      </c>
      <c r="E12" s="6" t="inlineStr">
        <is>
          <t>frontend/tests/dashboard-export.test.tsx (+10 / -11)</t>
        </is>
      </c>
      <c r="F12" s="6" t="inlineStr">
        <is>
          <t>+10 / -11</t>
        </is>
      </c>
      <c r="G12" s="6" t="inlineStr">
        <is>
          <t>Limpieza del setup del test (afterEach/cleanup de Testing Library) sin alterar las aserciones ni el resultado.</t>
        </is>
      </c>
    </row>
    <row r="14" ht="28" customHeight="1">
      <c r="A14" s="10" t="inlineStr">
        <is>
          <t>Nota: ambos ciclos están presentes en el historial de commits de la rama main (no se han rebaseado ni squasheado). El primer ciclo (image upload) es previo a la reorganización del backend en la carpeta backend/, por eso sus rutas no llevan ese prefijo.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2026-09-05T01:12:19Z</dcterms:created>
  <dcterms:modified xsi:type="dcterms:W3CDTF">2026-09-05T01:12:19Z</dcterms:modified>
</cp:coreProperties>
</file>